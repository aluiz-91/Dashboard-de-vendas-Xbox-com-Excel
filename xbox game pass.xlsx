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uiz\Downloads\"/>
    </mc:Choice>
  </mc:AlternateContent>
  <xr:revisionPtr revIDLastSave="0" documentId="13_ncr:1_{F24716FC-27B7-4D70-B432-F2240B8A14A5}" xr6:coauthVersionLast="47" xr6:coauthVersionMax="47" xr10:uidLastSave="{00000000-0000-0000-0000-000000000000}"/>
  <bookViews>
    <workbookView xWindow="-120" yWindow="-120" windowWidth="24240" windowHeight="130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8" i="3" l="1"/>
  <c r="E29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<sst xmlns="http://schemas.openxmlformats.org/spreadsheetml/2006/main" count="2022" uniqueCount="325">
  <si>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</si>
  <si>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</si>
  <si>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</si>
  <si>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</si>
  <si>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</si>
  <si>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</si>
  <si>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</si>
  <si>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</si>
  <si>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</si>
  <si>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</si>
  <si>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</si>
  <si>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</si>
  <si>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</si>
  <si>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</si>
  <si>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</si>
  <si>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</si>
  <si>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</si>
  <si>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</si>
  <si>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</si>
  <si>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</si>
  <si>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</si>
  <si>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</si>
  <si>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</si>
  <si>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</si>
  <si>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</si>
  <si>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</si>
  <si>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</si>
  <si>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</si>
  <si>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</si>
  <si>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</si>
  <si>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</si>
  <si>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</si>
  <si>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</si>
  <si>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</si>
  <si>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</si>
  <si>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</si>
  <si>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</si>
  <si>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</si>
  <si>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</si>
  <si>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</si>
  <si>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</si>
  <si>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</si>
  <si>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</si>
  <si>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</si>
  <si>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</si>
  <si>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</si>
  <si>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</si>
  <si>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</si>
  <si>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</si>
  <si>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</si>
  <si>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</si>
  <si>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</si>
  <si>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</si>
  <si>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</si>
  <si>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</si>
  <si>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</si>
  <si>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</si>
  <si>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</si>
  <si>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</si>
  <si>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</si>
  <si>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</si>
  <si>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</si>
  <si>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</si>
  <si>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</si>
  <si>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</si>
  <si>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</si>
  <si>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</si>
  <si>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</si>
  <si>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</si>
  <si>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</si>
  <si>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</si>
  <si>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</si>
  <si>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</si>
  <si>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</si>
  <si>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</si>
  <si>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</si>
  <si>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</si>
  <si>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</si>
  <si>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</si>
  <si>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</si>
  <si>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</si>
  <si>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</si>
  <si>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</si>
  <si>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</si>
  <si>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</si>
  <si>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</si>
  <si>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</si>
  <si>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</si>
  <si>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</si>
  <si>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</si>
  <si>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</si>
  <si>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</si>
  <si>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</si>
  <si>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</si>
  <si>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</si>
  <si>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</si>
  <si>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</si>
  <si>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</si>
  <si>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</si>
  <si>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</si>
  <si>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</si>
  <si>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</si>
  <si>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</si>
  <si>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</si>
  <si>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</si>
  <si>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</si>
  <si>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</si>
  <si>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</si>
  <si>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</si>
  <si>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</si>
  <si>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</si>
  <si>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</si>
  <si>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</si>
  <si>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</si>
  <si>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</si>
  <si>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</si>
  <si>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</si>
  <si>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</si>
  <si>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</si>
  <si>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</si>
  <si>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</si>
  <si>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</si>
  <si>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</si>
  <si>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</si>
  <si>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</si>
  <si>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</si>
  <si>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</si>
  <si>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</si>
  <si>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</si>
  <si>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</si>
  <si>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</si>
  <si>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</si>
  <si>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</si>
  <si>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</si>
  <si>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</si>
  <si>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</si>
  <si>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</si>
  <si>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</si>
  <si>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</si>
  <si>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</si>
  <si>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</si>
  <si>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</si>
  <si>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</si>
  <si>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</si>
  <si>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</si>
  <si>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</si>
  <si>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</si>
  <si>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</si>
  <si>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</si>
  <si>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</si>
  <si>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</si>
  <si>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</si>
  <si>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</si>
  <si>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</si>
  <si>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</si>
  <si>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</si>
  <si>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</si>
  <si>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</si>
  <si>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</si>
  <si>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</si>
  <si>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</si>
  <si>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</si>
  <si>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</si>
  <si>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</si>
  <si>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</si>
  <si>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</si>
  <si>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</si>
  <si>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</si>
  <si>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</si>
  <si>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</si>
  <si>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</si>
  <si>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</si>
  <si>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</si>
  <si>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</si>
  <si>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</si>
  <si>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</si>
  <si>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</si>
  <si>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</si>
  <si>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</si>
  <si>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</si>
  <si>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</si>
  <si>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</si>
  <si>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</si>
  <si>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</si>
  <si>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</si>
  <si>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</si>
  <si>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</si>
  <si>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</si>
  <si>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</si>
  <si>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</si>
  <si>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</si>
  <si>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</si>
  <si>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</si>
  <si>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</si>
  <si>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</si>
  <si>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</si>
  <si>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</si>
  <si>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</si>
  <si>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</si>
  <si>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</si>
  <si>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</si>
  <si>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</si>
  <si>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</si>
  <si>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</si>
  <si>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</si>
  <si>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</si>
  <si>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</si>
  <si>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</si>
  <si>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</si>
  <si>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</si>
  <si>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</si>
  <si>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</si>
  <si>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</si>
  <si>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</si>
  <si>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</si>
  <si>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</si>
  <si>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</si>
  <si>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</si>
  <si>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</si>
  <si>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</si>
  <si>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</si>
  <si>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</si>
  <si>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</si>
  <si>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</si>
  <si>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</si>
  <si>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</si>
  <si>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</si>
  <si>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</si>
  <si>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</si>
  <si>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</si>
  <si>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</si>
  <si>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</si>
  <si>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</si>
  <si>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</si>
  <si>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</si>
  <si>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</si>
  <si>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</si>
  <si>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</si>
  <si>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</si>
  <si>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</si>
  <si>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</si>
  <si>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</si>
  <si>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</si>
  <si>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</si>
  <si>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</si>
  <si>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</si>
  <si>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</si>
  <si>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</si>
  <si>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</si>
  <si>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</si>
  <si>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</si>
  <si>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</si>
  <si>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</si>
  <si>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</si>
  <si>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</si>
  <si>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</si>
  <si>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</si>
  <si>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</si>
  <si>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</si>
  <si>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</si>
  <si>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</si>
  <si>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</si>
  <si>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</si>
  <si>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</si>
  <si>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</si>
  <si>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</si>
  <si>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</si>
  <si>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</si>
  <si>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</si>
  <si>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</si>
  <si>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</si>
  <si>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</si>
  <si>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</si>
  <si>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</si>
  <si>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</si>
  <si>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</si>
  <si>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</si>
  <si>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</si>
  <si>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</si>
  <si>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</si>
  <si>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</si>
  <si>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</si>
  <si>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</si>
  <si>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</si>
  <si>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</si>
  <si>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</si>
  <si>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</si>
  <si>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</si>
  <si>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</si>
  <si>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</si>
  <si>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</si>
  <si>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</si>
  <si>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</si>
  <si>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</si>
  <si>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</si>
  <si>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</si>
  <si>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</si>
  <si>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</si>
  <si>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</si>
  <si>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</si>
  <si>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</si>
  <si>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</si>
  <si>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</si>
  <si>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</si>
  <si>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</si>
  <si>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</si>
  <si>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</si>
  <si>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</si>
  <si>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</si>
  <si>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</si>
  <si>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</si>
  <si>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</si>
  <si>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</si>
  <si>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</si>
  <si>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</si>
  <si>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</si>
  <si>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é uma pergunta de negocio respondida através de análise de dado específica</t>
  </si>
  <si>
    <t>Pergunta de negócio 2: Qual faturamento total de vendas de planos anuais, separado por auto renovação ou não auto renovação</t>
  </si>
  <si>
    <t>Pergunta de negócio 1: Qual faturamento total de vendas de planos anuais (contando todas as assinaturas agregadas)</t>
  </si>
  <si>
    <t>Soma de EA Play Season Pass</t>
  </si>
  <si>
    <t>Pergunta de negócio 4: Total de vendas de Assinaturas do Minecraft season pass</t>
  </si>
  <si>
    <t>Pergunta de negócio 3: Total de vendas de Assinatura do EA play</t>
  </si>
  <si>
    <t>Soma de Minecraft Season Pass Price</t>
  </si>
  <si>
    <t xml:space="preserve">         XBOX GAME PASS SUBSCRIPTIONS SALES</t>
  </si>
  <si>
    <t>Data de apuração 05/05/2025 - 01/01/2026 e Data de update 01/05/2026 as 15:45:08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</si>
</sst>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8"/>
      <color rgb="FF22C55E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right"/>
    </xf>
    <xf numFmtId="0" fontId="4" fillId="8" borderId="0" xfId="0" applyFont="1" applyFill="1"/>
    <xf numFmtId="0" fontId="5" fillId="7" borderId="0" xfId="0" applyFont="1" applyFill="1"/>
    <xf numFmtId="0" fontId="0" fillId="7" borderId="0" xfId="0" applyFill="1" applyBorder="1"/>
    <xf numFmtId="0" fontId="0" fillId="0" borderId="0" xfId="0" applyBorder="1"/>
    <xf numFmtId="0" fontId="5" fillId="7" borderId="0" xfId="0" applyFont="1" applyFill="1" applyBorder="1"/>
    <xf numFmtId="0" fontId="5" fillId="4" borderId="0" xfId="0" applyFont="1" applyFill="1"/>
    <xf numFmtId="0" fontId="6" fillId="0" borderId="2" xfId="0" applyFont="1" applyBorder="1"/>
    <xf numFmtId="0" fontId="0" fillId="0" borderId="2" xfId="0" applyBorder="1"/>
    <xf numFmtId="164" fontId="0" fillId="0" borderId="0" xfId="0" applyNumberFormat="1"/>
    <xf numFmtId="0" fontId="7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5"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numFmt numFmtId="164" formatCode="&quot;R$&quot;\ #,##0.00"/>
    </dxf>
    <dxf>
      <alignment horizontal="right"/>
    </dxf>
    <dxf>
      <alignment vertical="bottom"/>
    </dxf>
    <dxf>
      <alignment vertical="bottom"/>
    </dxf>
    <dxf>
      <alignment horizontal="right"/>
    </dxf>
    <dxf>
      <numFmt numFmtId="164" formatCode="&quot;R$&quot;\ #,##0.00"/>
    </dxf>
    <dxf>
      <alignment vertical="bottom"/>
    </dxf>
    <dxf>
      <alignment horizontal="right"/>
    </dxf>
    <dxf>
      <numFmt numFmtId="164" formatCode="&quot;R$&quot;\ #,##0.00"/>
    </dxf>
    <dxf>
      <alignment vertical="bottom"/>
    </dxf>
    <dxf>
      <alignment horizontal="right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 style="thin">
          <color rgb="FF22C55E"/>
        </left>
        <right style="thin">
          <color rgb="FF22C55E"/>
        </right>
        <top style="thin">
          <color rgb="FF22C55E"/>
        </top>
        <bottom style="thin">
          <color rgb="FF22C55E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 style="thin">
          <color rgb="FF22C55E"/>
        </left>
        <right style="thin">
          <color rgb="FF22C55E"/>
        </right>
        <top style="thin">
          <color rgb="FF22C55E"/>
        </top>
        <bottom style="thin">
          <color rgb="FF22C55E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fgColor rgb="FF22C55E"/>
          <bgColor rgb="FF22C55E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bottom style="thin">
          <color auto="1"/>
        </bottom>
      </border>
    </dxf>
    <dxf>
      <fill>
        <patternFill>
          <bgColor rgb="FF22C55E"/>
        </patternFill>
      </fill>
    </dxf>
    <dxf>
      <fill>
        <patternFill>
          <bgColor rgb="FF00CC66"/>
        </patternFill>
      </fill>
    </dxf>
    <dxf>
      <fill>
        <patternFill>
          <bgColor rgb="FF00CC66"/>
        </patternFill>
      </fill>
    </dxf>
  </dxfs>
  <tableStyles count="11" defaultTableStyle="TableStyleMedium2" defaultPivotStyle="PivotStyleLight16">
    <tableStyle name="Estilo de Segmentação de Dados 1" pivot="0" table="0" count="0" xr9:uid="{0C7B2FE7-A2F5-4A34-9080-C8F658A8A05C}"/>
    <tableStyle name="Estilo de Segmentação de Dados 2" pivot="0" table="0" count="1" xr9:uid="{620C78A8-C1A5-4967-95C2-66AEB570E9D8}">
      <tableStyleElement type="wholeTable" dxfId="164"/>
    </tableStyle>
    <tableStyle name="Estilo de Segmentação de Dados 3" pivot="0" table="0" count="1" xr9:uid="{30BBA994-0506-4E27-95C3-1E84ABD59B1E}">
      <tableStyleElement type="wholeTable" dxfId="163"/>
    </tableStyle>
    <tableStyle name="Estilo de Segmentação de Dados 4" pivot="0" table="0" count="1" xr9:uid="{A0AC5AE6-F9DC-4E1E-A4CD-8A4E6D6CF532}">
      <tableStyleElement type="wholeTable" dxfId="162"/>
    </tableStyle>
    <tableStyle name="Estilo de Segmentação de Dados 5" pivot="0" table="0" count="1" xr9:uid="{9CCAC34D-6402-4826-9559-AA315A0B5C4B}">
      <tableStyleElement type="wholeTable" dxfId="161"/>
    </tableStyle>
    <tableStyle name="SlicerStyleLight3 2" pivot="0" table="0" count="10" xr9:uid="{E0F6161A-8186-46F8-B53E-799CEF7D9449}">
      <tableStyleElement type="wholeTable" dxfId="160"/>
      <tableStyleElement type="headerRow" dxfId="159"/>
    </tableStyle>
    <tableStyle name="SlicerStyleLight3 3" pivot="0" table="0" count="10" xr9:uid="{AEAEE1CD-CFF5-4AD7-992A-66E186DF493E}">
      <tableStyleElement type="wholeTable" dxfId="158"/>
      <tableStyleElement type="headerRow" dxfId="157"/>
    </tableStyle>
    <tableStyle name="SlicerStyleLight3 4" pivot="0" table="0" count="10" xr9:uid="{FEC1DF3B-CA49-4371-BD07-6039484AF1AB}">
      <tableStyleElement type="wholeTable" dxfId="156"/>
      <tableStyleElement type="headerRow" dxfId="155"/>
    </tableStyle>
    <tableStyle name="SlicerStyleLight3 5" pivot="0" table="0" count="10" xr9:uid="{4A2B017C-746D-490C-A79A-C94B42BBBDFE}">
      <tableStyleElement type="wholeTable" dxfId="154"/>
      <tableStyleElement type="headerRow" dxfId="153"/>
    </tableStyle>
    <tableStyle name="SlicerStyleLight3 5 2" pivot="0" table="0" count="10" xr9:uid="{028EDF0C-95E2-42C8-96A6-345065515FD6}">
      <tableStyleElement type="wholeTable" dxfId="152"/>
      <tableStyleElement type="headerRow" dxfId="151"/>
    </tableStyle>
    <tableStyle name="SlicerStyleLight3 5 3" pivot="0" table="0" count="10" xr9:uid="{10B5121E-9894-4A4C-9833-E501D04525A3}">
      <tableStyleElement type="wholeTable" dxfId="150"/>
      <tableStyleElement type="headerRow" dxfId="149"/>
    </tableStyle>
  </tableStyles>
  <colors>
    <mruColors>
      <color rgb="FF22C55E"/>
      <color rgb="FF2AE6B1"/>
      <color rgb="FF00CC66"/>
      <color rgb="FFE8E6E9"/>
      <color rgb="FF5BF6A8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4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  <x14:slicerStyle name="Estilo de Segmentação de Dados 4"/>
        <x14:slicerStyle name="Estilo de Segmentação de Dados 5"/>
        <x14:slicerStyle name="SlicerStyleLight3 2">
          <x14:slicerStyleElements>
            <x14:slicerStyleElement type="unselectedItemWithData" dxfId="47"/>
            <x14:slicerStyleElement type="unselectedItemWithNoData" dxfId="46"/>
            <x14:slicerStyleElement type="selectedItemWithData" dxfId="45"/>
            <x14:slicerStyleElement type="selectedItemWithNoData" dxfId="44"/>
            <x14:slicerStyleElement type="hoveredUnselectedItemWithData" dxfId="43"/>
            <x14:slicerStyleElement type="hoveredSelectedItemWithData" dxfId="42"/>
            <x14:slicerStyleElement type="hoveredUnselectedItemWithNoData" dxfId="41"/>
            <x14:slicerStyleElement type="hoveredSelectedItemWithNoData" dxfId="40"/>
          </x14:slicerStyleElements>
        </x14:slicerStyle>
        <x14:slicerStyle name="SlicerStyleLight3 3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SlicerStyleLight3 4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3 5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3 5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3 5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 game pass.xlsx]C̳álculos!TBL_total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3D5-4785-92F6-484519A7A26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3D5-4785-92F6-484519A7A2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C̳álculos!$B$11:$B$14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Annual</c:v>
                  </c:pt>
                </c:lvl>
              </c:multiLvlStrCache>
            </c:multiLvlStrRef>
          </c:cat>
          <c:val>
            <c:numRef>
              <c:f>C̳álculos!$C$11:$C$14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D5-4785-92F6-484519A7A26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14828144"/>
        <c:axId val="714827312"/>
      </c:barChart>
      <c:catAx>
        <c:axId val="71482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4827312"/>
        <c:crosses val="autoZero"/>
        <c:auto val="1"/>
        <c:lblAlgn val="ctr"/>
        <c:lblOffset val="100"/>
        <c:noMultiLvlLbl val="0"/>
      </c:catAx>
      <c:valAx>
        <c:axId val="71482731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7148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1821657</xdr:colOff>
      <xdr:row>0</xdr:row>
      <xdr:rowOff>71437</xdr:rowOff>
    </xdr:from>
    <xdr:to>
      <xdr:col>2</xdr:col>
      <xdr:colOff>476250</xdr:colOff>
      <xdr:row>3</xdr:row>
      <xdr:rowOff>34900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21C70D2-A10B-4427-A1CB-E4CCE05C95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904"/>
        <a:stretch/>
      </xdr:blipFill>
      <xdr:spPr>
        <a:xfrm>
          <a:off x="1821657" y="71437"/>
          <a:ext cx="761999" cy="820713"/>
        </a:xfrm>
        <a:prstGeom prst="rect">
          <a:avLst/>
        </a:prstGeom>
      </xdr:spPr>
    </xdr:pic>
    <xdr:clientData/>
  </xdr:twoCellAnchor>
  <xdr:twoCellAnchor>
    <xdr:from>
      <xdr:col>1</xdr:col>
      <xdr:colOff>130968</xdr:colOff>
      <xdr:row>14</xdr:row>
      <xdr:rowOff>35718</xdr:rowOff>
    </xdr:from>
    <xdr:to>
      <xdr:col>14</xdr:col>
      <xdr:colOff>285750</xdr:colOff>
      <xdr:row>31</xdr:row>
      <xdr:rowOff>119063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F1FA1BCD-7D04-4A1D-BD51-D9FD0CF78DE2}"/>
            </a:ext>
          </a:extLst>
        </xdr:cNvPr>
        <xdr:cNvGrpSpPr/>
      </xdr:nvGrpSpPr>
      <xdr:grpSpPr>
        <a:xfrm>
          <a:off x="1964531" y="2917031"/>
          <a:ext cx="8524875" cy="3119438"/>
          <a:chOff x="2071688" y="1440656"/>
          <a:chExt cx="4702968" cy="3262313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85BF733A-C9A7-4928-AD8B-2C05C928981D}"/>
              </a:ext>
            </a:extLst>
          </xdr:cNvPr>
          <xdr:cNvSpPr/>
        </xdr:nvSpPr>
        <xdr:spPr>
          <a:xfrm>
            <a:off x="2071688" y="1440656"/>
            <a:ext cx="4702968" cy="3262313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5004D36-B7B7-4623-8D99-F2F624DD9A34}"/>
              </a:ext>
            </a:extLst>
          </xdr:cNvPr>
          <xdr:cNvGraphicFramePr>
            <a:graphicFrameLocks/>
          </xdr:cNvGraphicFramePr>
        </xdr:nvGraphicFramePr>
        <xdr:xfrm>
          <a:off x="2121425" y="1992551"/>
          <a:ext cx="4565124" cy="242943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5</xdr:row>
      <xdr:rowOff>83344</xdr:rowOff>
    </xdr:from>
    <xdr:to>
      <xdr:col>1</xdr:col>
      <xdr:colOff>-1</xdr:colOff>
      <xdr:row>18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AC0E5971-410B-483F-BA8B-DC62F3706E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66813"/>
              <a:ext cx="1833562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166685</xdr:colOff>
      <xdr:row>3</xdr:row>
      <xdr:rowOff>23813</xdr:rowOff>
    </xdr:from>
    <xdr:to>
      <xdr:col>7</xdr:col>
      <xdr:colOff>285750</xdr:colOff>
      <xdr:row>12</xdr:row>
      <xdr:rowOff>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2AE06A5A-E47D-4812-82FC-CEBDCD92CCE2}"/>
            </a:ext>
          </a:extLst>
        </xdr:cNvPr>
        <xdr:cNvGrpSpPr/>
      </xdr:nvGrpSpPr>
      <xdr:grpSpPr>
        <a:xfrm>
          <a:off x="2000248" y="881063"/>
          <a:ext cx="3845721" cy="1631156"/>
          <a:chOff x="1964531" y="821531"/>
          <a:chExt cx="4476750" cy="1857375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504BBAB1-8B65-4E6F-8ED5-622268FBC681}"/>
              </a:ext>
            </a:extLst>
          </xdr:cNvPr>
          <xdr:cNvSpPr/>
        </xdr:nvSpPr>
        <xdr:spPr>
          <a:xfrm>
            <a:off x="1976437" y="821531"/>
            <a:ext cx="4464843" cy="1857375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 </a:t>
            </a:r>
          </a:p>
        </xdr:txBody>
      </xdr:sp>
      <xdr:sp macro="" textlink="C̳álculos!E29">
        <xdr:nvSpPr>
          <xdr:cNvPr id="8" name="Retângulo 7">
            <a:extLst>
              <a:ext uri="{FF2B5EF4-FFF2-40B4-BE49-F238E27FC236}">
                <a16:creationId xmlns:a16="http://schemas.microsoft.com/office/drawing/2014/main" id="{642569FB-4C38-40C9-893A-C185813C1DF8}"/>
              </a:ext>
            </a:extLst>
          </xdr:cNvPr>
          <xdr:cNvSpPr/>
        </xdr:nvSpPr>
        <xdr:spPr>
          <a:xfrm>
            <a:off x="2973549" y="1420415"/>
            <a:ext cx="2980367" cy="954882"/>
          </a:xfrm>
          <a:prstGeom prst="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8A85B3D-4A82-48F9-8D1B-47F8427552EE}" type="TxLink">
              <a:rPr lang="en-US" sz="2800" b="0" i="0" u="none" strike="noStrike">
                <a:solidFill>
                  <a:srgbClr val="22C55E"/>
                </a:solidFill>
                <a:latin typeface="Aptos Narrow"/>
                <a:cs typeface="Arial" panose="020B0604020202020204" pitchFamily="34" charset="0"/>
              </a:rPr>
              <a:pPr algn="ctr"/>
              <a:t>R$ 600,00</a:t>
            </a:fld>
            <a:endParaRPr lang="en-US" sz="6000">
              <a:solidFill>
                <a:srgbClr val="22C55E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A3117E16-BD21-4449-8856-25F4991339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36023" y="1321594"/>
            <a:ext cx="1478632" cy="1152525"/>
          </a:xfrm>
          <a:prstGeom prst="rect">
            <a:avLst/>
          </a:prstGeom>
        </xdr:spPr>
      </xdr:pic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BC01CA33-1617-4591-ACBD-F71D99851EA8}"/>
              </a:ext>
            </a:extLst>
          </xdr:cNvPr>
          <xdr:cNvSpPr/>
        </xdr:nvSpPr>
        <xdr:spPr>
          <a:xfrm>
            <a:off x="1964531" y="821531"/>
            <a:ext cx="4476750" cy="309562"/>
          </a:xfrm>
          <a:prstGeom prst="round2SameRect">
            <a:avLst/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200">
                <a:latin typeface="Arial" panose="020B0604020202020204" pitchFamily="34" charset="0"/>
                <a:cs typeface="Arial" panose="020B0604020202020204" pitchFamily="34" charset="0"/>
              </a:rPr>
              <a:t>TOTAL SUBSCRIPTIONS EA SEASON PASS</a:t>
            </a:r>
          </a:p>
        </xdr:txBody>
      </xdr:sp>
    </xdr:grpSp>
    <xdr:clientData/>
  </xdr:twoCellAnchor>
  <xdr:twoCellAnchor>
    <xdr:from>
      <xdr:col>1</xdr:col>
      <xdr:colOff>142875</xdr:colOff>
      <xdr:row>14</xdr:row>
      <xdr:rowOff>42864</xdr:rowOff>
    </xdr:from>
    <xdr:to>
      <xdr:col>14</xdr:col>
      <xdr:colOff>285750</xdr:colOff>
      <xdr:row>16</xdr:row>
      <xdr:rowOff>23813</xdr:rowOff>
    </xdr:to>
    <xdr:sp macro="" textlink="">
      <xdr:nvSpPr>
        <xdr:cNvPr id="27" name="Retângulo: Cantos Superiores Arredondados 26">
          <a:extLst>
            <a:ext uri="{FF2B5EF4-FFF2-40B4-BE49-F238E27FC236}">
              <a16:creationId xmlns:a16="http://schemas.microsoft.com/office/drawing/2014/main" id="{7F624FF8-1C04-478B-A222-1D954261A9AB}"/>
            </a:ext>
          </a:extLst>
        </xdr:cNvPr>
        <xdr:cNvSpPr/>
      </xdr:nvSpPr>
      <xdr:spPr>
        <a:xfrm>
          <a:off x="1976438" y="2733677"/>
          <a:ext cx="8512968" cy="338136"/>
        </a:xfrm>
        <a:prstGeom prst="round2Same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pt-BR" sz="1200">
              <a:latin typeface="Arial" panose="020B0604020202020204" pitchFamily="34" charset="0"/>
              <a:cs typeface="Arial" panose="020B0604020202020204" pitchFamily="34" charset="0"/>
            </a:rPr>
            <a:t>TOTAL SUBSCRIPTIONS XBOX GAME PASS</a:t>
          </a:r>
        </a:p>
      </xdr:txBody>
    </xdr:sp>
    <xdr:clientData/>
  </xdr:twoCellAnchor>
  <xdr:twoCellAnchor>
    <xdr:from>
      <xdr:col>7</xdr:col>
      <xdr:colOff>664368</xdr:colOff>
      <xdr:row>3</xdr:row>
      <xdr:rowOff>21432</xdr:rowOff>
    </xdr:from>
    <xdr:to>
      <xdr:col>14</xdr:col>
      <xdr:colOff>226219</xdr:colOff>
      <xdr:row>11</xdr:row>
      <xdr:rowOff>166688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C9DB3BD3-EBA1-427F-9841-B2691EFBCD0E}"/>
            </a:ext>
          </a:extLst>
        </xdr:cNvPr>
        <xdr:cNvGrpSpPr/>
      </xdr:nvGrpSpPr>
      <xdr:grpSpPr>
        <a:xfrm>
          <a:off x="6224587" y="878682"/>
          <a:ext cx="4205288" cy="1621631"/>
          <a:chOff x="6224587" y="878682"/>
          <a:chExt cx="4205288" cy="1621631"/>
        </a:xfrm>
      </xdr:grpSpPr>
      <xdr:sp macro="" textlink="">
        <xdr:nvSpPr>
          <xdr:cNvPr id="17" name="Retângulo 16">
            <a:extLst>
              <a:ext uri="{FF2B5EF4-FFF2-40B4-BE49-F238E27FC236}">
                <a16:creationId xmlns:a16="http://schemas.microsoft.com/office/drawing/2014/main" id="{15C18B65-AC49-4A3D-B98F-61128DF17CD8}"/>
              </a:ext>
            </a:extLst>
          </xdr:cNvPr>
          <xdr:cNvSpPr/>
        </xdr:nvSpPr>
        <xdr:spPr>
          <a:xfrm>
            <a:off x="6237347" y="914401"/>
            <a:ext cx="4192528" cy="1585912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 </a:t>
            </a:r>
          </a:p>
        </xdr:txBody>
      </xdr:sp>
      <xdr:sp macro="" textlink="C̳álculos!E48">
        <xdr:nvSpPr>
          <xdr:cNvPr id="18" name="Retângulo 17">
            <a:extLst>
              <a:ext uri="{FF2B5EF4-FFF2-40B4-BE49-F238E27FC236}">
                <a16:creationId xmlns:a16="http://schemas.microsoft.com/office/drawing/2014/main" id="{2B64C1C2-44E8-4E0D-8AAA-0AD2AA664E8A}"/>
              </a:ext>
            </a:extLst>
          </xdr:cNvPr>
          <xdr:cNvSpPr/>
        </xdr:nvSpPr>
        <xdr:spPr>
          <a:xfrm>
            <a:off x="7173644" y="1425756"/>
            <a:ext cx="2798592" cy="815322"/>
          </a:xfrm>
          <a:prstGeom prst="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010038C-B957-4059-9D9D-C02DA2016804}" type="TxLink">
              <a:rPr lang="en-US" sz="2800" b="0" i="0" u="none" strike="noStrike">
                <a:solidFill>
                  <a:srgbClr val="22C55E"/>
                </a:solidFill>
                <a:latin typeface="Aptos Narrow"/>
                <a:cs typeface="Arial" panose="020B0604020202020204" pitchFamily="34" charset="0"/>
              </a:rPr>
              <a:pPr algn="ctr"/>
              <a:t>R$ 940,00</a:t>
            </a:fld>
            <a:endParaRPr lang="en-US" sz="13800">
              <a:solidFill>
                <a:srgbClr val="22C55E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9ED5B0EB-BBF4-45F9-8E82-426A8A1B9415}"/>
              </a:ext>
            </a:extLst>
          </xdr:cNvPr>
          <xdr:cNvGrpSpPr/>
        </xdr:nvGrpSpPr>
        <xdr:grpSpPr>
          <a:xfrm>
            <a:off x="6477259" y="1435321"/>
            <a:ext cx="1180047" cy="708450"/>
            <a:chOff x="3495675" y="5400674"/>
            <a:chExt cx="1549476" cy="752476"/>
          </a:xfrm>
        </xdr:grpSpPr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319A4E3D-A452-404E-A5B9-08AD51D2BCF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6" name="Gráfico 25">
              <a:extLst>
                <a:ext uri="{FF2B5EF4-FFF2-40B4-BE49-F238E27FC236}">
                  <a16:creationId xmlns:a16="http://schemas.microsoft.com/office/drawing/2014/main" id="{6E119598-8523-48AB-B941-4297A274F5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4D6E1A29-453C-4807-86F0-2146F40B367D}"/>
              </a:ext>
            </a:extLst>
          </xdr:cNvPr>
          <xdr:cNvSpPr/>
        </xdr:nvSpPr>
        <xdr:spPr>
          <a:xfrm>
            <a:off x="6224587" y="878682"/>
            <a:ext cx="4205288" cy="264318"/>
          </a:xfrm>
          <a:prstGeom prst="round2SameRect">
            <a:avLst/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200">
                <a:latin typeface="Arial" panose="020B0604020202020204" pitchFamily="34" charset="0"/>
                <a:cs typeface="Arial" panose="020B0604020202020204" pitchFamily="34" charset="0"/>
              </a:rPr>
              <a:t>TOTAL SUBSCRIPTIONS MINECRAFT SEASON PASS</a:t>
            </a:r>
          </a:p>
        </xdr:txBody>
      </xdr:sp>
    </xdr:grpSp>
    <xdr:clientData/>
  </xdr:twoCellAnchor>
  <xdr:twoCellAnchor editAs="absolute">
    <xdr:from>
      <xdr:col>0</xdr:col>
      <xdr:colOff>166688</xdr:colOff>
      <xdr:row>0</xdr:row>
      <xdr:rowOff>273844</xdr:rowOff>
    </xdr:from>
    <xdr:to>
      <xdr:col>0</xdr:col>
      <xdr:colOff>904875</xdr:colOff>
      <xdr:row>2</xdr:row>
      <xdr:rowOff>83343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E4F3ADC9-0333-494E-8204-BF27CD2B5AB2}"/>
            </a:ext>
          </a:extLst>
        </xdr:cNvPr>
        <xdr:cNvSpPr/>
      </xdr:nvSpPr>
      <xdr:spPr>
        <a:xfrm>
          <a:off x="166688" y="273844"/>
          <a:ext cx="738187" cy="559593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59531</xdr:colOff>
      <xdr:row>3</xdr:row>
      <xdr:rowOff>23812</xdr:rowOff>
    </xdr:from>
    <xdr:to>
      <xdr:col>0</xdr:col>
      <xdr:colOff>1702594</xdr:colOff>
      <xdr:row>5</xdr:row>
      <xdr:rowOff>47625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D259297E-AA03-4BFE-819B-B8290A279342}"/>
            </a:ext>
          </a:extLst>
        </xdr:cNvPr>
        <xdr:cNvSpPr/>
      </xdr:nvSpPr>
      <xdr:spPr>
        <a:xfrm>
          <a:off x="59531" y="881062"/>
          <a:ext cx="1643063" cy="250032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&gt; Bem vinda, Eliana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é Luiz" refreshedDate="46044.16130983796" createdVersion="7" refreshedVersion="7" minRefreshableVersion="3" recordCount="295" xr:uid="{FB05D0C6-2197-4203-893E-5B1A0668C3C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694188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59A76-CA45-471C-A603-9FE7DDE0B5A9}" name="Tabela totalMinecraftpass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B44:C4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3">
    <format dxfId="128">
      <pivotArea outline="0" collapsedLevelsAreSubtotals="1" fieldPosition="0"/>
    </format>
    <format dxfId="127">
      <pivotArea outline="0" collapsedLevelsAreSubtotals="1" fieldPosition="0"/>
    </format>
    <format dxfId="1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03BFF-4A61-4BD0-BDAA-46D89BEE8125}" name="TBL_EAseasonpass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B25:C2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3">
    <format dxfId="131">
      <pivotArea outline="0" collapsedLevelsAreSubtotals="1" fieldPosition="0"/>
    </format>
    <format dxfId="130">
      <pivotArea outline="0" collapsedLevelsAreSubtotals="1" fieldPosition="0"/>
    </format>
    <format dxfId="1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90999-020E-4A19-8BE6-538BF3F69730}" name="TB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B10:C14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4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 numFmtId="164"/>
  </dataFields>
  <formats count="3">
    <format dxfId="134">
      <pivotArea outline="0" collapsedLevelsAreSubtotals="1" fieldPosition="0"/>
    </format>
    <format dxfId="133">
      <pivotArea outline="0" collapsedLevelsAreSubtotals="1" fieldPosition="0"/>
    </format>
    <format dxfId="132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BFA93E5-C574-473A-8692-855D7416A67F}" sourceName="Subscription Type">
  <pivotTables>
    <pivotTable tabId="3" name="TBL_EAseasonpasstotal"/>
    <pivotTable tabId="3" name="TBL_total"/>
    <pivotTable tabId="3" name="Tabela totalMinecraftpass"/>
  </pivotTables>
  <data>
    <tabular pivotCacheId="66941880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E5B0BCE-2E1D-4BF7-80C7-F0D0C347531B}" cache="SegmentaçãodeDados_Subscription_Type" caption="Subscription Type" style="SlicerStyleLight3 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48">
  <autoFilter ref="A1:M296" xr:uid="{34E0E886-4200-4B36-97B3-63DB74FF40A0}"/>
  <tableColumns count="13">
    <tableColumn id="1" xr3:uid="{C4A90516-688A-46BF-9167-EA16C2A8A652}" name="Subscriber ID" dataDxfId="147"/>
    <tableColumn id="2" xr3:uid="{53DD39D0-2220-4121-9E9D-4EAA7E151C0F}" name="Name" dataDxfId="146"/>
    <tableColumn id="3" xr3:uid="{4F5FF271-4C57-4BE0-8F2C-F82C8551625C}" name="Plan" dataDxfId="145"/>
    <tableColumn id="4" xr3:uid="{8C17EB93-79B9-4E55-B8F7-BEB82F8253E9}" name="Start Date" dataDxfId="144"/>
    <tableColumn id="5" xr3:uid="{48CEDF9B-1689-482A-A828-5CCE7713264A}" name="Auto Renewal" dataDxfId="143"/>
    <tableColumn id="6" xr3:uid="{78B82374-9AA7-4E38-AE4F-78CDE6C83720}" name="Subscription Price" dataDxfId="142" dataCellStyle="Moeda"/>
    <tableColumn id="7" xr3:uid="{F2433F68-AF33-49D0-B1FB-19A396074EDE}" name="Subscription Type" dataDxfId="141"/>
    <tableColumn id="8" xr3:uid="{FD4D9C95-F6E5-4933-9068-A71FF7DF9343}" name="EA Play Season Pass" dataDxfId="140"/>
    <tableColumn id="13" xr3:uid="{978DD0D2-834E-4CE4-A39B-30976086932F}" name="EA Play Season Pass_x000a_Price" dataDxfId="139" dataCellStyle="Moeda"/>
    <tableColumn id="9" xr3:uid="{6E29F111-C395-4580-9DAD-3407D9E8B1A4}" name="Minecraft Season Pass" dataDxfId="138"/>
    <tableColumn id="10" xr3:uid="{EF544EAA-7F25-4FD5-A10E-8E62804DB9E3}" name="Minecraft Season Pass Price" dataDxfId="137" dataCellStyle="Moeda"/>
    <tableColumn id="11" xr3:uid="{7F6EB64A-1F07-4E48-9F0F-AC7D9DCD26F8}" name="Coupon Value" dataDxfId="136" dataCellStyle="Moeda"/>
    <tableColumn id="12" xr3:uid="{2B04ABC8-DE6F-426E-ADC0-D8AFC68CA58E}" name="Total Value" dataDxfId="13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28" sqref="E28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32" sqref="B32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48"/>
  <sheetViews>
    <sheetView topLeftCell="A28" workbookViewId="0">
      <selection activeCell="A16" sqref="A16:XFD16"/>
    </sheetView>
  </sheetViews>
  <sheetFormatPr defaultRowHeight="14.25"/>
  <cols>
    <col min="2" max="2" width="18" bestFit="1" customWidth="1"/>
    <col min="3" max="3" width="35.125" bestFit="1" customWidth="1"/>
    <col min="4" max="4" width="32.125" bestFit="1" customWidth="1"/>
    <col min="5" max="5" width="10.7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2" spans="2:4">
      <c r="B2" s="16" t="s">
        <v>316</v>
      </c>
      <c r="C2" s="16"/>
      <c r="D2" s="16"/>
    </row>
    <row r="4" spans="2:4">
      <c r="B4" t="s">
        <v>318</v>
      </c>
    </row>
    <row r="5" spans="2:4">
      <c r="B5" t="s">
        <v>317</v>
      </c>
    </row>
    <row r="10" spans="2:4">
      <c r="B10" s="12" t="s">
        <v>314</v>
      </c>
      <c r="C10" t="s">
        <v>313</v>
      </c>
    </row>
    <row r="11" spans="2:4">
      <c r="B11" s="13" t="s">
        <v>24</v>
      </c>
      <c r="C11" s="15">
        <v>1754</v>
      </c>
    </row>
    <row r="12" spans="2:4">
      <c r="B12" s="14" t="s">
        <v>23</v>
      </c>
      <c r="C12" s="15">
        <v>217</v>
      </c>
    </row>
    <row r="13" spans="2:4">
      <c r="B13" s="14" t="s">
        <v>19</v>
      </c>
      <c r="C13" s="15">
        <v>1537</v>
      </c>
    </row>
    <row r="14" spans="2:4">
      <c r="B14" s="13" t="s">
        <v>315</v>
      </c>
      <c r="C14" s="15">
        <v>1754</v>
      </c>
    </row>
    <row r="21" spans="2:5">
      <c r="B21" s="13"/>
      <c r="C21" s="15"/>
    </row>
    <row r="23" spans="2:5">
      <c r="B23" s="12" t="s">
        <v>16</v>
      </c>
      <c r="C23" t="s">
        <v>24</v>
      </c>
    </row>
    <row r="25" spans="2:5">
      <c r="B25" s="12" t="s">
        <v>314</v>
      </c>
      <c r="C25" t="s">
        <v>319</v>
      </c>
    </row>
    <row r="26" spans="2:5">
      <c r="B26" s="13" t="s">
        <v>22</v>
      </c>
      <c r="C26" s="15">
        <v>0</v>
      </c>
    </row>
    <row r="27" spans="2:5">
      <c r="B27" s="13" t="s">
        <v>26</v>
      </c>
      <c r="C27" s="15">
        <v>0</v>
      </c>
    </row>
    <row r="28" spans="2:5">
      <c r="B28" s="13" t="s">
        <v>18</v>
      </c>
      <c r="C28" s="15">
        <v>600</v>
      </c>
    </row>
    <row r="29" spans="2:5">
      <c r="B29" s="13" t="s">
        <v>315</v>
      </c>
      <c r="C29" s="15">
        <v>600</v>
      </c>
      <c r="E29" s="24">
        <f>GETPIVOTDATA("EA Play Season Pass
Price",$B$25)</f>
        <v>600</v>
      </c>
    </row>
    <row r="31" spans="2:5">
      <c r="B31" t="s">
        <v>321</v>
      </c>
    </row>
    <row r="32" spans="2:5">
      <c r="B32" t="s">
        <v>320</v>
      </c>
    </row>
    <row r="42" spans="2:5">
      <c r="B42" s="12" t="s">
        <v>16</v>
      </c>
      <c r="C42" t="s">
        <v>24</v>
      </c>
    </row>
    <row r="44" spans="2:5">
      <c r="B44" s="12" t="s">
        <v>314</v>
      </c>
      <c r="C44" t="s">
        <v>322</v>
      </c>
    </row>
    <row r="45" spans="2:5">
      <c r="B45" s="13" t="s">
        <v>22</v>
      </c>
      <c r="C45" s="15">
        <v>0</v>
      </c>
    </row>
    <row r="46" spans="2:5">
      <c r="B46" s="13" t="s">
        <v>26</v>
      </c>
      <c r="C46" s="15">
        <v>540</v>
      </c>
    </row>
    <row r="47" spans="2:5">
      <c r="B47" s="13" t="s">
        <v>18</v>
      </c>
      <c r="C47" s="15">
        <v>400</v>
      </c>
    </row>
    <row r="48" spans="2:5">
      <c r="B48" s="13" t="s">
        <v>315</v>
      </c>
      <c r="C48" s="15">
        <v>940</v>
      </c>
      <c r="E48" s="24">
        <f>GETPIVOTDATA("Minecraft Season Pass Price",$B$44)</f>
        <v>940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BB831"/>
  <sheetViews>
    <sheetView showGridLines="0" showRowColHeaders="0" tabSelected="1" zoomScale="80" zoomScaleNormal="80" workbookViewId="0">
      <selection activeCell="K41" sqref="K41"/>
    </sheetView>
  </sheetViews>
  <sheetFormatPr defaultRowHeight="14.25"/>
  <cols>
    <col min="1" max="1" width="24.125" style="4" customWidth="1"/>
    <col min="2" max="2" width="3.625" customWidth="1"/>
    <col min="12" max="12" width="6.625" customWidth="1"/>
  </cols>
  <sheetData>
    <row r="1" spans="1:54" ht="48" customHeight="1" thickBot="1">
      <c r="B1" s="19"/>
      <c r="C1" s="22" t="s">
        <v>323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54" s="7" customFormat="1" ht="11.25" customHeight="1" thickTop="1">
      <c r="A2" s="4"/>
      <c r="B2" s="18"/>
    </row>
    <row r="3" spans="1:54" s="17" customFormat="1" ht="8.25" customHeight="1">
      <c r="A3" s="21"/>
      <c r="B3" s="20"/>
    </row>
    <row r="4" spans="1:54" ht="7.5" customHeight="1">
      <c r="B4" s="1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1:54" ht="10.5" customHeight="1">
      <c r="B5" s="1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1:54" ht="9.75" customHeight="1">
      <c r="B6" s="1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 ht="33" customHeight="1">
      <c r="B7" s="1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>
      <c r="B8" s="1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spans="1:54">
      <c r="B9" s="18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spans="1:54">
      <c r="B10" s="1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</row>
    <row r="11" spans="1:54">
      <c r="B11" s="18"/>
      <c r="C11" s="7"/>
      <c r="D11" s="7"/>
      <c r="E11" s="7"/>
      <c r="F11" s="7"/>
      <c r="G11" s="7"/>
      <c r="H11" s="7"/>
      <c r="I11" s="18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spans="1:54">
      <c r="B12" s="1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1:54">
      <c r="B13" s="1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spans="1:54" ht="15">
      <c r="B14" s="18"/>
      <c r="C14" s="25" t="s">
        <v>324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spans="1:54">
      <c r="B15" s="1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1:54">
      <c r="B16" s="1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2:54">
      <c r="B17" s="1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2:54">
      <c r="B18" s="1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2:54">
      <c r="B19" s="1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2:54">
      <c r="B20" s="1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spans="2:54">
      <c r="B21" s="18"/>
      <c r="C21" s="7"/>
      <c r="D21" s="7"/>
      <c r="E21" s="7"/>
      <c r="F21" s="7"/>
      <c r="G21" s="18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spans="2:54">
      <c r="B22" s="1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spans="2:54">
      <c r="B23" s="1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spans="2:54">
      <c r="B24" s="1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spans="2:54">
      <c r="B25" s="1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spans="2:54">
      <c r="B26" s="1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spans="2:54">
      <c r="B27" s="18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spans="2:54">
      <c r="B28" s="1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spans="2:54">
      <c r="B29" s="1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spans="2:54">
      <c r="B30" s="1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</row>
    <row r="31" spans="2:54">
      <c r="B31" s="1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</row>
    <row r="32" spans="2:54">
      <c r="B32" s="1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</row>
    <row r="33" spans="2:54">
      <c r="B33" s="1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</row>
    <row r="34" spans="2:54">
      <c r="B34" s="1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</row>
    <row r="35" spans="2:54">
      <c r="B35" s="1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</row>
    <row r="36" spans="2:54">
      <c r="B36" s="1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</row>
    <row r="37" spans="2:54">
      <c r="B37" s="1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</row>
    <row r="38" spans="2:54">
      <c r="B38" s="1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</row>
    <row r="39" spans="2:54">
      <c r="B39" s="1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</row>
    <row r="40" spans="2:54">
      <c r="B40" s="1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</row>
    <row r="41" spans="2:54">
      <c r="B41" s="1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</row>
    <row r="42" spans="2:54">
      <c r="B42" s="1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</row>
    <row r="43" spans="2:54">
      <c r="B43" s="1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</row>
    <row r="44" spans="2:54">
      <c r="B44" s="1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</row>
    <row r="45" spans="2:54">
      <c r="B45" s="1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</row>
    <row r="46" spans="2:54">
      <c r="B46" s="1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</row>
    <row r="47" spans="2:54">
      <c r="B47" s="1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</row>
    <row r="48" spans="2:54">
      <c r="B48" s="18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</row>
    <row r="49" spans="2:54">
      <c r="B49" s="18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</row>
    <row r="50" spans="2:54">
      <c r="B50" s="1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</row>
    <row r="51" spans="2:54">
      <c r="B51" s="1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</row>
    <row r="52" spans="2:54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</row>
    <row r="53" spans="2:54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</row>
    <row r="54" spans="2:54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</row>
    <row r="55" spans="2:54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</row>
    <row r="56" spans="2:54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</row>
    <row r="57" spans="2:54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</row>
    <row r="58" spans="2:54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</row>
    <row r="59" spans="2:54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</row>
    <row r="60" spans="2:54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</row>
    <row r="61" spans="2:54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</row>
    <row r="62" spans="2:54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</row>
    <row r="63" spans="2:54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</row>
    <row r="64" spans="2:54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</row>
    <row r="65" spans="2:54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</row>
    <row r="66" spans="2:54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</row>
    <row r="67" spans="2:54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</row>
    <row r="68" spans="2:54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</row>
    <row r="69" spans="2:54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</row>
    <row r="70" spans="2:54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</row>
    <row r="71" spans="2:54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</row>
    <row r="72" spans="2:54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</row>
    <row r="73" spans="2:54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</row>
    <row r="74" spans="2:54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</row>
    <row r="75" spans="2:54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</row>
    <row r="76" spans="2:54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</row>
    <row r="77" spans="2:54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</row>
    <row r="78" spans="2:54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</row>
    <row r="79" spans="2:54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</row>
    <row r="80" spans="2:54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</row>
    <row r="81" spans="2:54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</row>
    <row r="82" spans="2:54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</row>
    <row r="83" spans="2:54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</row>
    <row r="84" spans="2:54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</row>
    <row r="85" spans="2:54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</row>
    <row r="86" spans="2:54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</row>
    <row r="87" spans="2:54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</row>
    <row r="88" spans="2:54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</row>
    <row r="89" spans="2:54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</row>
    <row r="90" spans="2:54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</row>
    <row r="91" spans="2:54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</row>
    <row r="92" spans="2:54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</row>
    <row r="93" spans="2:54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</row>
    <row r="94" spans="2:54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</row>
    <row r="95" spans="2:54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</row>
    <row r="96" spans="2:54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</row>
    <row r="97" spans="2:54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  <row r="98" spans="2:54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</row>
    <row r="99" spans="2:54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</row>
    <row r="100" spans="2:54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</row>
    <row r="101" spans="2:54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</row>
    <row r="102" spans="2:54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</row>
    <row r="103" spans="2:54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</row>
    <row r="104" spans="2:54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</row>
    <row r="105" spans="2:54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</row>
    <row r="106" spans="2:54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</row>
    <row r="107" spans="2:54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</row>
    <row r="108" spans="2:54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</row>
    <row r="109" spans="2:54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</row>
    <row r="110" spans="2:54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</row>
    <row r="111" spans="2:54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</row>
    <row r="112" spans="2:54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</row>
    <row r="113" spans="2:54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</row>
    <row r="114" spans="2:54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</row>
    <row r="115" spans="2:54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</row>
    <row r="116" spans="2:54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</row>
    <row r="117" spans="2:54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</row>
    <row r="118" spans="2:54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</row>
    <row r="119" spans="2:54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</row>
    <row r="120" spans="2:54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</row>
    <row r="121" spans="2:54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</row>
    <row r="122" spans="2:54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</row>
    <row r="123" spans="2:54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</row>
    <row r="124" spans="2:54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</row>
    <row r="125" spans="2:54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</row>
    <row r="126" spans="2:54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</row>
    <row r="127" spans="2:54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</row>
    <row r="128" spans="2:54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</row>
    <row r="129" spans="2:54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</row>
    <row r="130" spans="2:54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</row>
    <row r="131" spans="2:54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</row>
    <row r="132" spans="2:54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</row>
    <row r="133" spans="2:54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</row>
    <row r="134" spans="2:54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</row>
    <row r="135" spans="2:54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</row>
    <row r="136" spans="2:54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</row>
    <row r="137" spans="2:54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</row>
    <row r="138" spans="2:54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</row>
    <row r="139" spans="2:54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</row>
    <row r="140" spans="2:54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</row>
    <row r="141" spans="2:54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</row>
    <row r="142" spans="2:54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</row>
    <row r="143" spans="2:54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</row>
    <row r="144" spans="2:54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</row>
    <row r="145" spans="2:54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</row>
    <row r="146" spans="2:54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</row>
    <row r="147" spans="2:54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</row>
    <row r="148" spans="2:54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</row>
    <row r="149" spans="2:54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</row>
    <row r="150" spans="2:54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</row>
    <row r="151" spans="2:54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</row>
    <row r="152" spans="2:54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</row>
    <row r="153" spans="2:54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</row>
    <row r="154" spans="2:54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</row>
    <row r="155" spans="2:54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</row>
    <row r="156" spans="2:54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</row>
    <row r="157" spans="2:54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</row>
    <row r="158" spans="2:54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</row>
    <row r="159" spans="2:54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</row>
    <row r="160" spans="2:54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</row>
    <row r="161" spans="2:54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</row>
    <row r="162" spans="2:54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</row>
    <row r="163" spans="2:54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</row>
    <row r="164" spans="2:54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</row>
    <row r="165" spans="2:54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</row>
    <row r="166" spans="2:54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</row>
    <row r="167" spans="2:54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</row>
    <row r="168" spans="2:54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</row>
    <row r="169" spans="2:54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</row>
    <row r="170" spans="2:54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</row>
    <row r="171" spans="2:54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</row>
    <row r="172" spans="2:54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</row>
    <row r="173" spans="2:54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</row>
    <row r="174" spans="2:54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</row>
    <row r="175" spans="2:54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</row>
    <row r="176" spans="2:54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</row>
    <row r="177" spans="2:54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</row>
    <row r="178" spans="2:54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</row>
    <row r="179" spans="2:54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</row>
    <row r="180" spans="2:54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</row>
    <row r="181" spans="2:54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</row>
    <row r="182" spans="2:54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</row>
    <row r="183" spans="2:54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</row>
    <row r="184" spans="2:54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</row>
    <row r="185" spans="2:54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</row>
    <row r="186" spans="2:54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</row>
    <row r="187" spans="2:54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</row>
    <row r="188" spans="2:54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</row>
    <row r="189" spans="2:54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</row>
    <row r="190" spans="2:54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</row>
    <row r="191" spans="2:54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</row>
    <row r="192" spans="2:54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</row>
    <row r="193" spans="2:54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</row>
    <row r="194" spans="2:54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</row>
    <row r="195" spans="2:54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</row>
    <row r="196" spans="2:54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</row>
    <row r="197" spans="2:54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</row>
    <row r="198" spans="2:54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</row>
    <row r="199" spans="2:54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</row>
    <row r="200" spans="2:54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</row>
    <row r="201" spans="2:54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</row>
    <row r="202" spans="2:54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</row>
    <row r="203" spans="2:54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</row>
    <row r="204" spans="2:54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</row>
    <row r="205" spans="2:54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</row>
    <row r="206" spans="2:54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</row>
    <row r="207" spans="2:54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</row>
    <row r="208" spans="2:54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</row>
    <row r="209" spans="2:54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</row>
    <row r="210" spans="2:54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</row>
    <row r="211" spans="2:54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</row>
    <row r="212" spans="2:54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</row>
    <row r="213" spans="2:54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</row>
    <row r="214" spans="2:54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</row>
    <row r="215" spans="2:54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</row>
    <row r="216" spans="2:54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</row>
    <row r="217" spans="2:54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</row>
    <row r="218" spans="2:54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</row>
    <row r="219" spans="2:54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</row>
    <row r="220" spans="2:54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</row>
    <row r="221" spans="2:54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</row>
    <row r="222" spans="2:54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</row>
    <row r="223" spans="2:54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</row>
    <row r="224" spans="2:54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</row>
    <row r="225" spans="2:54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</row>
    <row r="226" spans="2:54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</row>
    <row r="227" spans="2:54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</row>
    <row r="228" spans="2:54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</row>
    <row r="229" spans="2:54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</row>
    <row r="230" spans="2:54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</row>
    <row r="231" spans="2:54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</row>
    <row r="232" spans="2:54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</row>
    <row r="233" spans="2:54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</row>
    <row r="234" spans="2:54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</row>
    <row r="235" spans="2:54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</row>
    <row r="236" spans="2:54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</row>
    <row r="237" spans="2:54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</row>
    <row r="238" spans="2:54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</row>
    <row r="239" spans="2:54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</row>
    <row r="240" spans="2:54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</row>
    <row r="241" spans="2:54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</row>
    <row r="242" spans="2:54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</row>
    <row r="243" spans="2:54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</row>
    <row r="244" spans="2:54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</row>
    <row r="245" spans="2:54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</row>
    <row r="246" spans="2:54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</row>
    <row r="247" spans="2:54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</row>
    <row r="248" spans="2:54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</row>
    <row r="249" spans="2:54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</row>
    <row r="250" spans="2:54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</row>
    <row r="251" spans="2:54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</row>
    <row r="252" spans="2:54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</row>
    <row r="253" spans="2:54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</row>
    <row r="254" spans="2:54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</row>
    <row r="255" spans="2:54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</row>
    <row r="256" spans="2:54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</row>
    <row r="257" spans="2:54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</row>
    <row r="258" spans="2:54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</row>
    <row r="259" spans="2:54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</row>
    <row r="260" spans="2:54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</row>
    <row r="261" spans="2:54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</row>
    <row r="262" spans="2:54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</row>
    <row r="263" spans="2:54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</row>
    <row r="264" spans="2:54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</row>
    <row r="265" spans="2:54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</row>
    <row r="266" spans="2:54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</row>
    <row r="267" spans="2:54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</row>
    <row r="268" spans="2:54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</row>
    <row r="269" spans="2:54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</row>
    <row r="270" spans="2:54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</row>
    <row r="271" spans="2:54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</row>
    <row r="272" spans="2:54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</row>
    <row r="273" spans="2:54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</row>
    <row r="274" spans="2:54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</row>
    <row r="275" spans="2:54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</row>
    <row r="276" spans="2:54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</row>
    <row r="277" spans="2:54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</row>
    <row r="278" spans="2:54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</row>
    <row r="279" spans="2:54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</row>
    <row r="280" spans="2:54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</row>
    <row r="281" spans="2:54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</row>
    <row r="282" spans="2:54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</row>
    <row r="283" spans="2:54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</row>
    <row r="284" spans="2:54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</row>
    <row r="285" spans="2:54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</row>
    <row r="286" spans="2:54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</row>
    <row r="287" spans="2:54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</row>
    <row r="288" spans="2:54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</row>
    <row r="289" spans="2:54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</row>
    <row r="290" spans="2:54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</row>
    <row r="291" spans="2:54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</row>
    <row r="292" spans="2:54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</row>
    <row r="293" spans="2:54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</row>
    <row r="294" spans="2:54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</row>
    <row r="295" spans="2:54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</row>
    <row r="296" spans="2:54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</row>
    <row r="297" spans="2:54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</row>
    <row r="298" spans="2:54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</row>
    <row r="299" spans="2:54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</row>
    <row r="300" spans="2:54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</row>
    <row r="301" spans="2:54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</row>
    <row r="302" spans="2:54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</row>
    <row r="303" spans="2:54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</row>
    <row r="304" spans="2:54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</row>
    <row r="305" spans="2:54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</row>
    <row r="306" spans="2:54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</row>
    <row r="307" spans="2:54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</row>
    <row r="308" spans="2:54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</row>
    <row r="309" spans="2:54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</row>
    <row r="310" spans="2:54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</row>
    <row r="311" spans="2:54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</row>
    <row r="312" spans="2:54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</row>
    <row r="313" spans="2:54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</row>
    <row r="314" spans="2:54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</row>
    <row r="315" spans="2:54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</row>
    <row r="316" spans="2:54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</row>
    <row r="317" spans="2:54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</row>
    <row r="318" spans="2:54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</row>
    <row r="319" spans="2:54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</row>
    <row r="320" spans="2:54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</row>
    <row r="321" spans="2:54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</row>
    <row r="322" spans="2:54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</row>
    <row r="323" spans="2:54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</row>
    <row r="324" spans="2:54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</row>
    <row r="325" spans="2:54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</row>
    <row r="326" spans="2:54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</row>
    <row r="327" spans="2:54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</row>
    <row r="328" spans="2:54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</row>
    <row r="329" spans="2:54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</row>
    <row r="330" spans="2:54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</row>
    <row r="331" spans="2:54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</row>
    <row r="332" spans="2:54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</row>
    <row r="333" spans="2:54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</row>
    <row r="334" spans="2:54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</row>
    <row r="335" spans="2:54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</row>
    <row r="336" spans="2:54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</row>
    <row r="337" spans="2:54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</row>
    <row r="338" spans="2:54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</row>
    <row r="339" spans="2:54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</row>
    <row r="340" spans="2:54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</row>
    <row r="341" spans="2:54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</row>
    <row r="342" spans="2:54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</row>
    <row r="343" spans="2:54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</row>
    <row r="344" spans="2:54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</row>
    <row r="345" spans="2:54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</row>
    <row r="346" spans="2:54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</row>
    <row r="347" spans="2:54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</row>
    <row r="348" spans="2:54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</row>
    <row r="349" spans="2:54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</row>
    <row r="350" spans="2:54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</row>
    <row r="351" spans="2:54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</row>
    <row r="352" spans="2:54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</row>
    <row r="353" spans="2:54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</row>
    <row r="354" spans="2:54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</row>
    <row r="355" spans="2:54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</row>
    <row r="356" spans="2:54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</row>
    <row r="357" spans="2:54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</row>
    <row r="358" spans="2:54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</row>
    <row r="359" spans="2:54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</row>
    <row r="360" spans="2:54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</row>
    <row r="361" spans="2:54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</row>
    <row r="362" spans="2:54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</row>
    <row r="363" spans="2:54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</row>
    <row r="364" spans="2:54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</row>
    <row r="365" spans="2:54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</row>
    <row r="366" spans="2:54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</row>
    <row r="367" spans="2:54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</row>
    <row r="368" spans="2:54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</row>
    <row r="369" spans="2:54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</row>
    <row r="370" spans="2:54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</row>
    <row r="371" spans="2:54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</row>
    <row r="372" spans="2:54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</row>
    <row r="373" spans="2:54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</row>
    <row r="374" spans="2:54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</row>
    <row r="375" spans="2:54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</row>
    <row r="376" spans="2:54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</row>
    <row r="377" spans="2:54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</row>
    <row r="378" spans="2:54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</row>
    <row r="379" spans="2:54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</row>
    <row r="380" spans="2:54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</row>
    <row r="381" spans="2:54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</row>
    <row r="382" spans="2:54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</row>
    <row r="383" spans="2:54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</row>
    <row r="384" spans="2:54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</row>
    <row r="385" spans="2:54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</row>
    <row r="386" spans="2:54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</row>
    <row r="387" spans="2:54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</row>
    <row r="388" spans="2:54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</row>
    <row r="389" spans="2:54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</row>
    <row r="390" spans="2:54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</row>
    <row r="391" spans="2:54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</row>
    <row r="392" spans="2:54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</row>
    <row r="393" spans="2:54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</row>
    <row r="394" spans="2:54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</row>
    <row r="395" spans="2:54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</row>
    <row r="396" spans="2:54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</row>
    <row r="397" spans="2:54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</row>
    <row r="398" spans="2:54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</row>
    <row r="399" spans="2:54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</row>
    <row r="400" spans="2:54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</row>
    <row r="401" spans="2:54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</row>
    <row r="402" spans="2:54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</row>
    <row r="403" spans="2:54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</row>
    <row r="404" spans="2:54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</row>
    <row r="405" spans="2:54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</row>
    <row r="406" spans="2:54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</row>
    <row r="407" spans="2:54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</row>
    <row r="408" spans="2:54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</row>
    <row r="409" spans="2:54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</row>
    <row r="410" spans="2:54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</row>
    <row r="411" spans="2:54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</row>
    <row r="412" spans="2:54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</row>
    <row r="413" spans="2:54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</row>
    <row r="414" spans="2:54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</row>
    <row r="415" spans="2:54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</row>
    <row r="416" spans="2:54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</row>
    <row r="417" spans="2:54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</row>
    <row r="418" spans="2:54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</row>
    <row r="419" spans="2:54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</row>
    <row r="420" spans="2:54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</row>
    <row r="421" spans="2:54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</row>
    <row r="422" spans="2:54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</row>
    <row r="423" spans="2:54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</row>
    <row r="424" spans="2:54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</row>
    <row r="425" spans="2:54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</row>
    <row r="426" spans="2:54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</row>
    <row r="427" spans="2:54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</row>
    <row r="428" spans="2:54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</row>
    <row r="429" spans="2:54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</row>
    <row r="430" spans="2:54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</row>
    <row r="431" spans="2:54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</row>
    <row r="432" spans="2:54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</row>
    <row r="433" spans="2:54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</row>
    <row r="434" spans="2:54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</row>
    <row r="435" spans="2:54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</row>
    <row r="436" spans="2:54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</row>
    <row r="437" spans="2:54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</row>
    <row r="438" spans="2:54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</row>
    <row r="439" spans="2:54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</row>
    <row r="440" spans="2:54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</row>
    <row r="441" spans="2:54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</row>
    <row r="442" spans="2:54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</row>
    <row r="443" spans="2:54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</row>
    <row r="444" spans="2:54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</row>
    <row r="445" spans="2:54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</row>
    <row r="446" spans="2:54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</row>
    <row r="447" spans="2:54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</row>
    <row r="448" spans="2:54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</row>
    <row r="449" spans="2:54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</row>
    <row r="450" spans="2:54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</row>
    <row r="451" spans="2:54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</row>
    <row r="452" spans="2:54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</row>
    <row r="453" spans="2:54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</row>
    <row r="454" spans="2:54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</row>
    <row r="455" spans="2:54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</row>
    <row r="456" spans="2:54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</row>
    <row r="457" spans="2:54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</row>
    <row r="458" spans="2:54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</row>
    <row r="459" spans="2:54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</row>
    <row r="460" spans="2:54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</row>
    <row r="461" spans="2:54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</row>
    <row r="462" spans="2:54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</row>
    <row r="463" spans="2:54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</row>
    <row r="464" spans="2:54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</row>
    <row r="465" spans="2:54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</row>
    <row r="466" spans="2:54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</row>
    <row r="467" spans="2:54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</row>
    <row r="468" spans="2:54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</row>
    <row r="469" spans="2:54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</row>
    <row r="470" spans="2:54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</row>
    <row r="471" spans="2:54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</row>
    <row r="472" spans="2:54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</row>
    <row r="473" spans="2:54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</row>
    <row r="474" spans="2:54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</row>
    <row r="475" spans="2:54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</row>
    <row r="476" spans="2:54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</row>
    <row r="477" spans="2:54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</row>
    <row r="478" spans="2:54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</row>
    <row r="479" spans="2:54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</row>
    <row r="480" spans="2:54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</row>
    <row r="481" spans="2:54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</row>
    <row r="482" spans="2:54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</row>
    <row r="483" spans="2:54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</row>
    <row r="484" spans="2:54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</row>
    <row r="485" spans="2:54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</row>
    <row r="486" spans="2:54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</row>
    <row r="487" spans="2:54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</row>
    <row r="488" spans="2:54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</row>
    <row r="489" spans="2:54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</row>
    <row r="490" spans="2:54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</row>
    <row r="491" spans="2:54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</row>
    <row r="492" spans="2:54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</row>
    <row r="493" spans="2:54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</row>
    <row r="494" spans="2:54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</row>
    <row r="495" spans="2:54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</row>
    <row r="496" spans="2:54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</row>
    <row r="497" spans="2:54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</row>
    <row r="498" spans="2:54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</row>
    <row r="499" spans="2:54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</row>
    <row r="500" spans="2:54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</row>
    <row r="501" spans="2:54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</row>
    <row r="502" spans="2:54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</row>
    <row r="503" spans="2:54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</row>
    <row r="504" spans="2:54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</row>
    <row r="505" spans="2:54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</row>
    <row r="506" spans="2:54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</row>
    <row r="507" spans="2:54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</row>
    <row r="508" spans="2:54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</row>
    <row r="509" spans="2:54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</row>
    <row r="510" spans="2:54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</row>
    <row r="511" spans="2:54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</row>
    <row r="512" spans="2:54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</row>
    <row r="513" spans="2:54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</row>
    <row r="514" spans="2:54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</row>
    <row r="515" spans="2:54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</row>
    <row r="516" spans="2:54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</row>
    <row r="517" spans="2:54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</row>
    <row r="518" spans="2:54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</row>
    <row r="519" spans="2:54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</row>
    <row r="520" spans="2:54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</row>
    <row r="521" spans="2:54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</row>
    <row r="522" spans="2:54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</row>
    <row r="523" spans="2:54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</row>
    <row r="524" spans="2:54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</row>
    <row r="525" spans="2:54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</row>
    <row r="526" spans="2:54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</row>
    <row r="527" spans="2:54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</row>
    <row r="528" spans="2:54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</row>
    <row r="529" spans="2:54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</row>
    <row r="530" spans="2:54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</row>
    <row r="531" spans="2:54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</row>
    <row r="532" spans="2:54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</row>
    <row r="533" spans="2:54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</row>
    <row r="534" spans="2:54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</row>
    <row r="535" spans="2:54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</row>
    <row r="536" spans="2:54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</row>
    <row r="537" spans="2:54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</row>
    <row r="538" spans="2:54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</row>
    <row r="539" spans="2:54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</row>
    <row r="540" spans="2:54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</row>
    <row r="541" spans="2:54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</row>
    <row r="542" spans="2:54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</row>
    <row r="543" spans="2:54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</row>
    <row r="544" spans="2:54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</row>
    <row r="545" spans="2:54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</row>
    <row r="546" spans="2:54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</row>
    <row r="547" spans="2:54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</row>
    <row r="548" spans="2:54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</row>
    <row r="549" spans="2:54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</row>
    <row r="550" spans="2:54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</row>
    <row r="551" spans="2:54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</row>
    <row r="552" spans="2:54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</row>
    <row r="553" spans="2:54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</row>
    <row r="554" spans="2:54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</row>
    <row r="555" spans="2:54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</row>
    <row r="556" spans="2:54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</row>
    <row r="557" spans="2:54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</row>
    <row r="558" spans="2:54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</row>
    <row r="559" spans="2:54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</row>
    <row r="560" spans="2:54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</row>
    <row r="561" spans="2:54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</row>
    <row r="562" spans="2:54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</row>
    <row r="563" spans="2:54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</row>
    <row r="564" spans="2:54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</row>
    <row r="565" spans="2:54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</row>
    <row r="566" spans="2:54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</row>
    <row r="567" spans="2:54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</row>
    <row r="568" spans="2:54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</row>
    <row r="569" spans="2:54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</row>
    <row r="570" spans="2:54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</row>
    <row r="571" spans="2:54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</row>
    <row r="572" spans="2:54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</row>
    <row r="573" spans="2:54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</row>
    <row r="574" spans="2:54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</row>
    <row r="575" spans="2:54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</row>
    <row r="576" spans="2:54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</row>
    <row r="577" spans="2:54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</row>
    <row r="578" spans="2:54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</row>
    <row r="579" spans="2:54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</row>
    <row r="580" spans="2:54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</row>
    <row r="581" spans="2:54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</row>
    <row r="582" spans="2:54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</row>
    <row r="583" spans="2:54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</row>
    <row r="584" spans="2:54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</row>
    <row r="585" spans="2:54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</row>
    <row r="586" spans="2:54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</row>
    <row r="587" spans="2:54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</row>
    <row r="588" spans="2:54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</row>
    <row r="589" spans="2:54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</row>
    <row r="590" spans="2:54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</row>
    <row r="591" spans="2:54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</row>
    <row r="592" spans="2:54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</row>
    <row r="593" spans="2:54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</row>
    <row r="594" spans="2:54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</row>
    <row r="595" spans="2:54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</row>
    <row r="596" spans="2:54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</row>
    <row r="597" spans="2:54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</row>
    <row r="598" spans="2:54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</row>
    <row r="599" spans="2:54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</row>
    <row r="600" spans="2:54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</row>
    <row r="601" spans="2:54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</row>
    <row r="602" spans="2:54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</row>
    <row r="603" spans="2:54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</row>
    <row r="604" spans="2:54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</row>
    <row r="605" spans="2:54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</row>
    <row r="606" spans="2:54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</row>
    <row r="607" spans="2:54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</row>
    <row r="608" spans="2:54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</row>
    <row r="609" spans="2:54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</row>
    <row r="610" spans="2:54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</row>
    <row r="611" spans="2:54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</row>
    <row r="612" spans="2:54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</row>
    <row r="613" spans="2:54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</row>
    <row r="614" spans="2:54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</row>
    <row r="615" spans="2:54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</row>
    <row r="616" spans="2:54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</row>
    <row r="617" spans="2:54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</row>
    <row r="618" spans="2:54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</row>
    <row r="619" spans="2:54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</row>
    <row r="620" spans="2:54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</row>
    <row r="621" spans="2:54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</row>
    <row r="622" spans="2:54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</row>
    <row r="623" spans="2:54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</row>
    <row r="624" spans="2:54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</row>
    <row r="625" spans="2:54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</row>
    <row r="626" spans="2:54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</row>
    <row r="627" spans="2:54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</row>
    <row r="628" spans="2:54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</row>
    <row r="629" spans="2:54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</row>
    <row r="630" spans="2:54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</row>
    <row r="631" spans="2:54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</row>
    <row r="632" spans="2:54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</row>
    <row r="633" spans="2:54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</row>
    <row r="634" spans="2:54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</row>
    <row r="635" spans="2:54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</row>
    <row r="636" spans="2:54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</row>
    <row r="637" spans="2:54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</row>
    <row r="638" spans="2:54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</row>
    <row r="639" spans="2:54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</row>
    <row r="640" spans="2:54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</row>
    <row r="641" spans="2:54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</row>
    <row r="642" spans="2:54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</row>
    <row r="643" spans="2:54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</row>
    <row r="644" spans="2:54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</row>
    <row r="645" spans="2:54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</row>
    <row r="646" spans="2:54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</row>
    <row r="647" spans="2:54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</row>
    <row r="648" spans="2:54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</row>
    <row r="649" spans="2:54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</row>
    <row r="650" spans="2:54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</row>
    <row r="651" spans="2:54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</row>
    <row r="652" spans="2:54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</row>
    <row r="653" spans="2:54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</row>
    <row r="654" spans="2:54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</row>
    <row r="655" spans="2:54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</row>
    <row r="656" spans="2:54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</row>
    <row r="657" spans="2:54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</row>
    <row r="658" spans="2:54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</row>
    <row r="659" spans="2:54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</row>
    <row r="660" spans="2:54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</row>
    <row r="661" spans="2:54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</row>
    <row r="662" spans="2:54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</row>
    <row r="663" spans="2:54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</row>
    <row r="664" spans="2:54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</row>
    <row r="665" spans="2:54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</row>
    <row r="666" spans="2:54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</row>
    <row r="667" spans="2:54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</row>
    <row r="668" spans="2:54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</row>
    <row r="669" spans="2:54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</row>
    <row r="670" spans="2:54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</row>
    <row r="671" spans="2:54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</row>
    <row r="672" spans="2:54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</row>
    <row r="673" spans="2:54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</row>
    <row r="674" spans="2:54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</row>
    <row r="675" spans="2:54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</row>
    <row r="676" spans="2:54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</row>
    <row r="677" spans="2:54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</row>
    <row r="678" spans="2:54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</row>
    <row r="679" spans="2:54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</row>
    <row r="680" spans="2:54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</row>
    <row r="681" spans="2:54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</row>
    <row r="682" spans="2:54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</row>
    <row r="683" spans="2:54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</row>
    <row r="684" spans="2:54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</row>
    <row r="685" spans="2:54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</row>
    <row r="686" spans="2:54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</row>
    <row r="687" spans="2:54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</row>
    <row r="688" spans="2:54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</row>
    <row r="689" spans="2:54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</row>
    <row r="690" spans="2:54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</row>
    <row r="691" spans="2:54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</row>
    <row r="692" spans="2:54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</row>
    <row r="693" spans="2:54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</row>
    <row r="694" spans="2:54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</row>
    <row r="695" spans="2:54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</row>
    <row r="696" spans="2:54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</row>
    <row r="697" spans="2:54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</row>
    <row r="698" spans="2:54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</row>
    <row r="699" spans="2:54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</row>
    <row r="700" spans="2:54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</row>
    <row r="701" spans="2:54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</row>
    <row r="702" spans="2:54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</row>
    <row r="703" spans="2:54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</row>
    <row r="704" spans="2:54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</row>
    <row r="705" spans="2:54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</row>
    <row r="706" spans="2:54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</row>
    <row r="707" spans="2:54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</row>
    <row r="708" spans="2:54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</row>
    <row r="709" spans="2:54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</row>
    <row r="710" spans="2:54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</row>
    <row r="711" spans="2:54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</row>
    <row r="712" spans="2:54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</row>
    <row r="713" spans="2:54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</row>
    <row r="714" spans="2:54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</row>
    <row r="715" spans="2:54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</row>
    <row r="716" spans="2:54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</row>
    <row r="717" spans="2:54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</row>
    <row r="718" spans="2:54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</row>
    <row r="719" spans="2:54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</row>
    <row r="720" spans="2:54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</row>
    <row r="721" spans="2:54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</row>
    <row r="722" spans="2:54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</row>
    <row r="723" spans="2:54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</row>
    <row r="724" spans="2:54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</row>
    <row r="725" spans="2:54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</row>
    <row r="726" spans="2:54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</row>
    <row r="727" spans="2:54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</row>
    <row r="728" spans="2:54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</row>
    <row r="729" spans="2:54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</row>
    <row r="730" spans="2:54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</row>
    <row r="731" spans="2:54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</row>
    <row r="732" spans="2:54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</row>
    <row r="733" spans="2:54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</row>
    <row r="734" spans="2:54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</row>
    <row r="735" spans="2:54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</row>
    <row r="736" spans="2:54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</row>
    <row r="737" spans="2:54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</row>
    <row r="738" spans="2:54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</row>
    <row r="739" spans="2:54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</row>
    <row r="740" spans="2:54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</row>
    <row r="741" spans="2:54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</row>
    <row r="742" spans="2:54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</row>
    <row r="743" spans="2:54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</row>
    <row r="744" spans="2:54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</row>
    <row r="745" spans="2:54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</row>
    <row r="746" spans="2:54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</row>
    <row r="747" spans="2:54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</row>
    <row r="748" spans="2:54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</row>
    <row r="749" spans="2:54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</row>
    <row r="750" spans="2:54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</row>
    <row r="751" spans="2:54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</row>
    <row r="752" spans="2:54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</row>
    <row r="753" spans="2:54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</row>
    <row r="754" spans="2:54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</row>
    <row r="755" spans="2:54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</row>
    <row r="756" spans="2:54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</row>
    <row r="757" spans="2:54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</row>
    <row r="758" spans="2:54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</row>
    <row r="759" spans="2:54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</row>
    <row r="760" spans="2:54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</row>
    <row r="761" spans="2:54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</row>
    <row r="762" spans="2:54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</row>
    <row r="763" spans="2:54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</row>
    <row r="764" spans="2:54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</row>
    <row r="765" spans="2:54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</row>
    <row r="766" spans="2:54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</row>
    <row r="767" spans="2:54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</row>
    <row r="768" spans="2:54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</row>
    <row r="769" spans="2:54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</row>
    <row r="770" spans="2:54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</row>
    <row r="771" spans="2:54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</row>
    <row r="772" spans="2:54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</row>
    <row r="773" spans="2:54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</row>
    <row r="774" spans="2:54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</row>
    <row r="775" spans="2:54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</row>
    <row r="776" spans="2:54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</row>
    <row r="777" spans="2:54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</row>
    <row r="778" spans="2:54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</row>
    <row r="779" spans="2:54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</row>
    <row r="780" spans="2:54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</row>
    <row r="781" spans="2:54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</row>
    <row r="782" spans="2:54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</row>
    <row r="783" spans="2:54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</row>
    <row r="784" spans="2:54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</row>
    <row r="785" spans="2:54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</row>
    <row r="786" spans="2:54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</row>
    <row r="787" spans="2:54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</row>
    <row r="788" spans="2:54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</row>
    <row r="789" spans="2:54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</row>
    <row r="790" spans="2:54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</row>
    <row r="791" spans="2:54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</row>
    <row r="792" spans="2:54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</row>
    <row r="793" spans="2:54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</row>
    <row r="794" spans="2:54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</row>
    <row r="795" spans="2:54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</row>
    <row r="796" spans="2:54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</row>
    <row r="797" spans="2:54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</row>
    <row r="798" spans="2:54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</row>
    <row r="799" spans="2:54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</row>
    <row r="800" spans="2:54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</row>
    <row r="801" spans="2:54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</row>
    <row r="802" spans="2:54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</row>
    <row r="803" spans="2:54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</row>
    <row r="804" spans="2:54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</row>
    <row r="805" spans="2:54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</row>
    <row r="806" spans="2:54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</row>
    <row r="807" spans="2:54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</row>
    <row r="808" spans="2:54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</row>
    <row r="809" spans="2:54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</row>
    <row r="810" spans="2:54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</row>
    <row r="811" spans="2:54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</row>
    <row r="812" spans="2:54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</row>
    <row r="813" spans="2:54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</row>
    <row r="814" spans="2:54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</row>
    <row r="815" spans="2:54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</row>
    <row r="816" spans="2:54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</row>
    <row r="817" spans="2:54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</row>
    <row r="818" spans="2:54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</row>
    <row r="819" spans="2:54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</row>
    <row r="820" spans="2:54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</row>
    <row r="821" spans="2:54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</row>
    <row r="822" spans="2:54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</row>
    <row r="823" spans="2:54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</row>
    <row r="824" spans="2:54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</row>
    <row r="825" spans="2:54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</row>
    <row r="826" spans="2:54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</row>
    <row r="827" spans="2:54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</row>
    <row r="828" spans="2:54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</row>
    <row r="829" spans="2:54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</row>
    <row r="830" spans="2:54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</row>
    <row r="831" spans="2:54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André Luiz</cp:lastModifiedBy>
  <dcterms:created xsi:type="dcterms:W3CDTF">2024-12-19T13:13:10Z</dcterms:created>
  <dcterms:modified xsi:type="dcterms:W3CDTF">2026-01-27T07:28:42Z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